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ayathri\Desktop\Coding Challenge\"/>
    </mc:Choice>
  </mc:AlternateContent>
  <xr:revisionPtr revIDLastSave="0" documentId="13_ncr:1_{4F23E313-C15F-4772-B8B8-3F4DB06544A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set" sheetId="1" r:id="rId1"/>
    <sheet name="assignment-1" sheetId="2" r:id="rId2"/>
    <sheet name="observa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K2" i="2"/>
  <c r="L2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2" i="2"/>
  <c r="H2" i="2"/>
  <c r="B36" i="2"/>
  <c r="G2" i="2"/>
  <c r="D36" i="2"/>
</calcChain>
</file>

<file path=xl/sharedStrings.xml><?xml version="1.0" encoding="utf-8"?>
<sst xmlns="http://schemas.openxmlformats.org/spreadsheetml/2006/main" count="309" uniqueCount="118">
  <si>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</si>
  <si>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</si>
  <si>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</si>
  <si>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</si>
  <si>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</si>
  <si>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</si>
  <si>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</si>
  <si>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</si>
  <si>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</si>
  <si>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</si>
  <si>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</si>
  <si>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</si>
  <si>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</si>
  <si>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</si>
  <si>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</si>
  <si>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</si>
  <si>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</si>
  <si>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</si>
  <si>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</si>
  <si>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</si>
  <si>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</si>
  <si>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</si>
  <si>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</si>
  <si>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</si>
  <si>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</si>
  <si>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</si>
  <si>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</si>
  <si>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</si>
  <si>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</si>
  <si>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</si>
  <si>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</si>
  <si>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</si>
  <si>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</si>
  <si>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</si>
  <si>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</si>
  <si>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</si>
  <si>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</si>
  <si>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</si>
  <si>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</si>
  <si>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</si>
  <si>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</si>
  <si>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</si>
  <si>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</si>
  <si>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</si>
  <si>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</si>
  <si>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</si>
  <si>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</si>
  <si>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</si>
  <si>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</si>
  <si>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</si>
  <si>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</si>
  <si>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</si>
  <si>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</si>
  <si>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</si>
  <si>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</si>
  <si>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</si>
  <si>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</si>
  <si>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</si>
  <si>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</si>
  <si>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</si>
  <si>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</si>
  <si>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</si>
  <si>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</si>
  <si>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</si>
  <si>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</si>
  <si>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</si>
  <si>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</si>
  <si>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</si>
  <si>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</si>
  <si>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</si>
  <si>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</si>
  <si>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</si>
  <si>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</si>
  <si>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</si>
  <si>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</si>
  <si>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</si>
  <si>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</si>
  <si>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</si>
  <si>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</si>
  <si>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</si>
  <si>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</si>
  <si>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</si>
  <si>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</si>
  <si>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</si>
  <si>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</si>
  <si>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</si>
  <si>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</si>
  <si>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</si>
  <si>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</si>
  <si>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</si>
  <si>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</si>
  <si>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</si>
  <si>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</si>
  <si>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I calculated the total price of all products in dataset using sum() formula</t>
  </si>
  <si>
    <t>Average Price of the Product</t>
  </si>
  <si>
    <t>I calculated the average price of products in dataset using average() formula</t>
  </si>
  <si>
    <t>I used countA() to find total number of products in dataset</t>
  </si>
  <si>
    <t>min price</t>
  </si>
  <si>
    <t>max price</t>
  </si>
  <si>
    <t>I used Min() formula to find minimum price among all products</t>
  </si>
  <si>
    <t>I used Max() formula to find maximum price among all products</t>
  </si>
  <si>
    <t>Price Range</t>
  </si>
  <si>
    <t>I used IF Function to find price range as High and Standard</t>
  </si>
  <si>
    <t>Count of Sales &lt;100</t>
  </si>
  <si>
    <t>Electronics Total Sale</t>
  </si>
  <si>
    <t>I Used the SUMIF function to calculate the total price of products in the Electronics category.</t>
  </si>
  <si>
    <t>I Used the COUNTIF function to determine the number of products with a price less than $100.</t>
  </si>
  <si>
    <t>Day</t>
  </si>
  <si>
    <t>Country Code</t>
  </si>
  <si>
    <t>I Created a new column named Country Code by extracting the last 2 characters from the 'Product ID' column using the RIGHT function.</t>
  </si>
  <si>
    <t>I Created a new column named Day with the first 2 characters of each 'Product ID' using the LEFT function.</t>
  </si>
  <si>
    <t>Month</t>
  </si>
  <si>
    <t>I Created a new column named Month by extracting the 4th to 6th characters from the 'Product ID' column using the MID function.</t>
  </si>
  <si>
    <t>Sum, Count, and Average</t>
  </si>
  <si>
    <t>Minimum and Maximum Values</t>
  </si>
  <si>
    <t>Logical Function – IF</t>
  </si>
  <si>
    <t>Conditional Functions – SUMIF and COUNTIF</t>
  </si>
  <si>
    <t>Text Formatting – LEFT, RIGHT, 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</si>
</sst>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sz val="8"/>
      <name val="Arial"/>
      <scheme val="minor"/>
    </font>
    <font>
      <b/>
      <sz val="10"/>
      <color theme="1"/>
      <name val="Arial"/>
      <family val="2"/>
    </font>
    <font>
      <b/>
      <sz val="11"/>
      <color rgb="FF000000"/>
      <name val="Arial"/>
      <family val="2"/>
      <scheme val="minor"/>
    </font>
    <font>
      <b/>
      <sz val="11"/>
      <color rgb="FFC00000"/>
      <name val="Arial"/>
      <family val="2"/>
      <scheme val="minor"/>
    </font>
    <font>
      <b/>
      <sz val="11"/>
      <color rgb="FF002060"/>
      <name val="Arial"/>
      <family val="2"/>
      <scheme val="minor"/>
    </font>
    <font>
      <sz val="11"/>
      <color rgb="FF00206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0" fillId="0" borderId="0" xfId="0" applyAlignment="1">
      <alignment horizontal="center"/>
    </xf>
    <xf numFmtId="2" fontId="2" fillId="3" borderId="1" xfId="0" applyNumberFormat="1" applyFont="1" applyFill="1" applyBorder="1"/>
    <xf numFmtId="0" fontId="2" fillId="3" borderId="1" xfId="0" applyFont="1" applyFill="1" applyBorder="1"/>
    <xf numFmtId="0" fontId="2" fillId="3" borderId="1" xfId="0" applyNumberFormat="1" applyFont="1" applyFill="1" applyBorder="1" applyAlignment="1">
      <alignment horizontal="left"/>
    </xf>
    <xf numFmtId="0" fontId="2" fillId="3" borderId="1" xfId="0" applyNumberFormat="1" applyFont="1" applyFill="1" applyBorder="1"/>
    <xf numFmtId="0" fontId="2" fillId="3" borderId="2" xfId="0" applyNumberFormat="1" applyFont="1" applyFill="1" applyBorder="1"/>
    <xf numFmtId="0" fontId="2" fillId="3" borderId="3" xfId="0" applyNumberFormat="1" applyFont="1" applyFill="1" applyBorder="1"/>
    <xf numFmtId="0" fontId="0" fillId="0" borderId="1" xfId="0" applyBorder="1"/>
    <xf numFmtId="0" fontId="5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3" fillId="3" borderId="2" xfId="0" applyNumberFormat="1" applyFont="1" applyFill="1" applyBorder="1" applyAlignment="1">
      <alignment horizontal="center"/>
    </xf>
    <xf numFmtId="0" fontId="3" fillId="3" borderId="1" xfId="0" applyNumberFormat="1" applyFont="1" applyFill="1" applyBorder="1" applyAlignment="1">
      <alignment horizontal="center"/>
    </xf>
    <xf numFmtId="0" fontId="3" fillId="3" borderId="3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3" fillId="3" borderId="4" xfId="0" applyNumberFormat="1" applyFont="1" applyFill="1" applyBorder="1" applyAlignment="1">
      <alignment horizontal="center"/>
    </xf>
    <xf numFmtId="0" fontId="3" fillId="3" borderId="5" xfId="0" applyNumberFormat="1" applyFont="1" applyFill="1" applyBorder="1" applyAlignment="1">
      <alignment horizontal="center"/>
    </xf>
    <xf numFmtId="0" fontId="3" fillId="3" borderId="6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3" borderId="3" xfId="0" applyFont="1" applyFill="1" applyBorder="1"/>
    <xf numFmtId="0" fontId="2" fillId="3" borderId="3" xfId="0" applyNumberFormat="1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7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/>
  </cellXfs>
  <cellStyles count="1">
    <cellStyle name="Normal" xfId="0" builtinId="0"/>
  </cellStyles>
  <dxfs count="34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0B7EAA-6196-4185-99BB-D8071A9646D6}" name="Table1" displayName="Table1" ref="A1:O36" totalsRowCount="1" headerRowDxfId="26" dataDxfId="27" totalsRowDxfId="0" totalsRowBorderDxfId="16">
  <autoFilter ref="A1:O35" xr:uid="{950B7EAA-6196-4185-99BB-D8071A9646D6}"/>
  <tableColumns count="15">
    <tableColumn id="1" xr3:uid="{6C63AFE5-9DCD-4CC4-8C81-50ABBE2D0FA4}" name="Product ID" dataDxfId="33" totalsRowDxfId="15"/>
    <tableColumn id="2" xr3:uid="{9965BF29-A024-4412-A056-ACB49DBCB952}" name="Product Name" totalsRowFunction="custom" dataDxfId="32" totalsRowDxfId="14">
      <totalsRowFormula>COUNTA(B2:B35)</totalsRowFormula>
    </tableColumn>
    <tableColumn id="3" xr3:uid="{BD006B1B-8A84-4431-B9BE-B382C7FCB30F}" name="Brand Name" dataDxfId="31" totalsRowDxfId="13"/>
    <tableColumn id="4" xr3:uid="{7EA9FF09-DF49-472A-9EED-96932A46637D}" name="Price ($)" totalsRowFunction="custom" dataDxfId="30" totalsRowDxfId="12">
      <totalsRowFormula>SUM(D2:D35)</totalsRowFormula>
    </tableColumn>
    <tableColumn id="5" xr3:uid="{C43C0716-8073-4321-963D-DE0024D5E058}" name="Quantity" dataDxfId="29" totalsRowDxfId="11"/>
    <tableColumn id="6" xr3:uid="{5B496745-06A0-4E01-8FC0-1CF4823F88BC}" name="Category" dataDxfId="28" totalsRowDxfId="10"/>
    <tableColumn id="7" xr3:uid="{1B0F73D3-903E-4F1B-A6B8-74E70B0E05F2}" name="Average Price of the Product" dataDxfId="25" totalsRowDxfId="9">
      <calculatedColumnFormula>AVERAGE(D2:D35)</calculatedColumnFormula>
    </tableColumn>
    <tableColumn id="8" xr3:uid="{ECA53002-C64E-4831-A499-992533C4E7F1}" name="min price" dataDxfId="24" totalsRowDxfId="8">
      <calculatedColumnFormula>MIN(D2:D35)</calculatedColumnFormula>
    </tableColumn>
    <tableColumn id="9" xr3:uid="{321CABA8-C123-41EA-8BEA-123A04AC252B}" name="max price" dataDxfId="23" totalsRowDxfId="7">
      <calculatedColumnFormula>MAX(D2:D35)</calculatedColumnFormula>
    </tableColumn>
    <tableColumn id="11" xr3:uid="{AE594776-F24A-42AA-9EC4-638E16C63622}" name="Price Range" dataDxfId="22" totalsRowDxfId="6">
      <calculatedColumnFormula>IF(D2&gt;=500, "High","Standard")</calculatedColumnFormula>
    </tableColumn>
    <tableColumn id="13" xr3:uid="{C153DF02-76E3-4892-B5B6-0C2D3860C9BA}" name="Electronics Total Sale" dataDxfId="20" totalsRowDxfId="5">
      <calculatedColumnFormula>SUMIF(F2:Table1[Category], "Electronics", Table1[Price ($)])</calculatedColumnFormula>
    </tableColumn>
    <tableColumn id="14" xr3:uid="{43393201-527E-4AAC-91CC-5FC387EF6DCA}" name="Count of Sales &lt;100" dataDxfId="21" totalsRowDxfId="4">
      <calculatedColumnFormula>COUNTIF(D2:D35,"&lt;100")</calculatedColumnFormula>
    </tableColumn>
    <tableColumn id="15" xr3:uid="{650ECE5F-1E7A-4176-B7CA-50D45555E4B6}" name="Day" dataDxfId="19" totalsRowDxfId="3">
      <calculatedColumnFormula>LEFT(A2,2)</calculatedColumnFormula>
    </tableColumn>
    <tableColumn id="16" xr3:uid="{D6AED706-C66E-4ECD-ADE1-A66410C9E5B5}" name="Country Code" dataDxfId="18" totalsRowDxfId="2">
      <calculatedColumnFormula>RIGHT(A2,2)</calculatedColumnFormula>
    </tableColumn>
    <tableColumn id="17" xr3:uid="{7DCFCFD7-1E10-41D4-8721-04D14E94172A}" name="Month" dataDxfId="17" totalsRowDxfId="1">
      <calculatedColumnFormula>MID(A2,4,3)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workbookViewId="0">
      <selection activeCell="H17" sqref="H17"/>
    </sheetView>
  </sheetViews>
  <sheetFormatPr defaultColWidth="12.6640625" defaultRowHeight="15" customHeight="1" x14ac:dyDescent="0.25"/>
  <cols>
    <col min="2" max="2" width="14.10937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F486-8EB7-4EDB-98EA-E36218AEBB2B}">
  <dimension ref="A1:O1000"/>
  <sheetViews>
    <sheetView workbookViewId="0">
      <selection activeCell="G15" sqref="G15"/>
    </sheetView>
  </sheetViews>
  <sheetFormatPr defaultColWidth="12.6640625" defaultRowHeight="13.2" x14ac:dyDescent="0.25"/>
  <cols>
    <col min="2" max="2" width="15.33203125" customWidth="1"/>
    <col min="3" max="3" width="13.6640625" customWidth="1"/>
    <col min="7" max="7" width="27" customWidth="1"/>
    <col min="10" max="10" width="15.88671875" style="6" customWidth="1"/>
    <col min="11" max="11" width="22.21875" customWidth="1"/>
    <col min="12" max="12" width="20.44140625" customWidth="1"/>
    <col min="14" max="14" width="15.5546875" style="6" customWidth="1"/>
  </cols>
  <sheetData>
    <row r="1" spans="1:1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94</v>
      </c>
      <c r="H1" s="1" t="s">
        <v>97</v>
      </c>
      <c r="I1" s="1" t="s">
        <v>98</v>
      </c>
      <c r="J1" s="1" t="s">
        <v>101</v>
      </c>
      <c r="K1" s="14" t="s">
        <v>104</v>
      </c>
      <c r="L1" s="1" t="s">
        <v>103</v>
      </c>
      <c r="M1" s="14" t="s">
        <v>107</v>
      </c>
      <c r="N1" s="14" t="s">
        <v>108</v>
      </c>
      <c r="O1" s="14" t="s">
        <v>111</v>
      </c>
    </row>
    <row r="2" spans="1:15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7">
        <f t="shared" ref="G2" si="0">AVERAGE(D2:D35)</f>
        <v>297.05882352941177</v>
      </c>
      <c r="H2" s="8">
        <f t="shared" ref="H2" si="1">MIN(D2:D35)</f>
        <v>30</v>
      </c>
      <c r="I2" s="8">
        <f t="shared" ref="I2" si="2">MAX(D2:D35)</f>
        <v>1000</v>
      </c>
      <c r="J2" s="9" t="str">
        <f t="shared" ref="J2:J35" si="3">IF(D2&gt;=500, "High","Standard")</f>
        <v>High</v>
      </c>
      <c r="K2" s="11">
        <f>SUMIF(F2:Table1[Category], "Electronics", Table1[Price ($)])</f>
        <v>8050</v>
      </c>
      <c r="L2" s="11">
        <f t="shared" ref="L2:L35" si="4">COUNTIF(D2:D35,"&lt;100")</f>
        <v>11</v>
      </c>
      <c r="M2" s="16" t="str">
        <f t="shared" ref="M2:M35" si="5">LEFT(A2,2)</f>
        <v>28</v>
      </c>
      <c r="N2" s="21" t="str">
        <f t="shared" ref="N2:N35" si="6">RIGHT(A2,2)</f>
        <v>US</v>
      </c>
      <c r="O2" s="24" t="str">
        <f t="shared" ref="O2:O35" si="7">MID(A2,4,3)</f>
        <v>JAN</v>
      </c>
    </row>
    <row r="3" spans="1:15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8"/>
      <c r="H3" s="8"/>
      <c r="I3" s="8"/>
      <c r="J3" s="9" t="str">
        <f t="shared" si="3"/>
        <v>Standard</v>
      </c>
      <c r="K3" s="10"/>
      <c r="L3" s="10"/>
      <c r="M3" s="17" t="str">
        <f t="shared" si="5"/>
        <v>15</v>
      </c>
      <c r="N3" s="22" t="str">
        <f t="shared" si="6"/>
        <v>US</v>
      </c>
      <c r="O3" s="24" t="str">
        <f t="shared" si="7"/>
        <v>FEB</v>
      </c>
    </row>
    <row r="4" spans="1:15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8"/>
      <c r="H4" s="8"/>
      <c r="I4" s="8"/>
      <c r="J4" s="9" t="str">
        <f t="shared" si="3"/>
        <v>Standard</v>
      </c>
      <c r="K4" s="10"/>
      <c r="L4" s="10"/>
      <c r="M4" s="17" t="str">
        <f t="shared" si="5"/>
        <v>03</v>
      </c>
      <c r="N4" s="22" t="str">
        <f t="shared" si="6"/>
        <v>US</v>
      </c>
      <c r="O4" s="24" t="str">
        <f t="shared" si="7"/>
        <v>MAR</v>
      </c>
    </row>
    <row r="5" spans="1:15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8"/>
      <c r="H5" s="8"/>
      <c r="I5" s="8"/>
      <c r="J5" s="9" t="str">
        <f t="shared" si="3"/>
        <v>High</v>
      </c>
      <c r="K5" s="10"/>
      <c r="L5" s="10"/>
      <c r="M5" s="17" t="str">
        <f t="shared" si="5"/>
        <v>11</v>
      </c>
      <c r="N5" s="22" t="str">
        <f t="shared" si="6"/>
        <v>US</v>
      </c>
      <c r="O5" s="24" t="str">
        <f t="shared" si="7"/>
        <v>APR</v>
      </c>
    </row>
    <row r="6" spans="1:15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8"/>
      <c r="H6" s="8"/>
      <c r="I6" s="8"/>
      <c r="J6" s="9" t="str">
        <f t="shared" si="3"/>
        <v>Standard</v>
      </c>
      <c r="K6" s="10"/>
      <c r="L6" s="10"/>
      <c r="M6" s="17" t="str">
        <f t="shared" si="5"/>
        <v>22</v>
      </c>
      <c r="N6" s="22" t="str">
        <f t="shared" si="6"/>
        <v>US</v>
      </c>
      <c r="O6" s="24" t="str">
        <f t="shared" si="7"/>
        <v>MAY</v>
      </c>
    </row>
    <row r="7" spans="1:15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8"/>
      <c r="H7" s="8"/>
      <c r="I7" s="8"/>
      <c r="J7" s="9" t="str">
        <f t="shared" si="3"/>
        <v>Standard</v>
      </c>
      <c r="K7" s="10"/>
      <c r="L7" s="10"/>
      <c r="M7" s="17" t="str">
        <f t="shared" si="5"/>
        <v>07</v>
      </c>
      <c r="N7" s="22" t="str">
        <f t="shared" si="6"/>
        <v>UK</v>
      </c>
      <c r="O7" s="24" t="str">
        <f t="shared" si="7"/>
        <v>JUN</v>
      </c>
    </row>
    <row r="8" spans="1:15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8"/>
      <c r="H8" s="8"/>
      <c r="I8" s="8"/>
      <c r="J8" s="9" t="str">
        <f t="shared" si="3"/>
        <v>Standard</v>
      </c>
      <c r="K8" s="10"/>
      <c r="L8" s="10"/>
      <c r="M8" s="17" t="str">
        <f t="shared" si="5"/>
        <v>19</v>
      </c>
      <c r="N8" s="22" t="str">
        <f t="shared" si="6"/>
        <v>UK</v>
      </c>
      <c r="O8" s="24" t="str">
        <f t="shared" si="7"/>
        <v>JUL</v>
      </c>
    </row>
    <row r="9" spans="1:15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8"/>
      <c r="H9" s="8"/>
      <c r="I9" s="8"/>
      <c r="J9" s="9" t="str">
        <f t="shared" si="3"/>
        <v>Standard</v>
      </c>
      <c r="K9" s="10"/>
      <c r="L9" s="10"/>
      <c r="M9" s="17" t="str">
        <f t="shared" si="5"/>
        <v>23</v>
      </c>
      <c r="N9" s="22" t="str">
        <f t="shared" si="6"/>
        <v>UK</v>
      </c>
      <c r="O9" s="24" t="str">
        <f t="shared" si="7"/>
        <v>AUG</v>
      </c>
    </row>
    <row r="10" spans="1:15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8"/>
      <c r="H10" s="8"/>
      <c r="I10" s="8"/>
      <c r="J10" s="9" t="str">
        <f t="shared" si="3"/>
        <v>High</v>
      </c>
      <c r="K10" s="10"/>
      <c r="L10" s="10"/>
      <c r="M10" s="17" t="str">
        <f t="shared" si="5"/>
        <v>05</v>
      </c>
      <c r="N10" s="22" t="str">
        <f t="shared" si="6"/>
        <v>UK</v>
      </c>
      <c r="O10" s="24" t="str">
        <f t="shared" si="7"/>
        <v>SEP</v>
      </c>
    </row>
    <row r="11" spans="1:15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8"/>
      <c r="H11" s="8"/>
      <c r="I11" s="8"/>
      <c r="J11" s="9" t="str">
        <f t="shared" si="3"/>
        <v>Standard</v>
      </c>
      <c r="K11" s="10"/>
      <c r="L11" s="10"/>
      <c r="M11" s="17" t="str">
        <f t="shared" si="5"/>
        <v>14</v>
      </c>
      <c r="N11" s="22" t="str">
        <f t="shared" si="6"/>
        <v>UK</v>
      </c>
      <c r="O11" s="24" t="str">
        <f t="shared" si="7"/>
        <v>OCT</v>
      </c>
    </row>
    <row r="12" spans="1:15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8"/>
      <c r="H12" s="8"/>
      <c r="I12" s="8"/>
      <c r="J12" s="9" t="str">
        <f t="shared" si="3"/>
        <v>High</v>
      </c>
      <c r="K12" s="10"/>
      <c r="L12" s="10"/>
      <c r="M12" s="17" t="str">
        <f t="shared" si="5"/>
        <v>17</v>
      </c>
      <c r="N12" s="22" t="str">
        <f t="shared" si="6"/>
        <v>IN</v>
      </c>
      <c r="O12" s="24" t="str">
        <f t="shared" si="7"/>
        <v>JUN</v>
      </c>
    </row>
    <row r="13" spans="1:15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8"/>
      <c r="H13" s="8"/>
      <c r="I13" s="8"/>
      <c r="J13" s="9" t="str">
        <f t="shared" si="3"/>
        <v>Standard</v>
      </c>
      <c r="K13" s="10"/>
      <c r="L13" s="10"/>
      <c r="M13" s="17" t="str">
        <f t="shared" si="5"/>
        <v>25</v>
      </c>
      <c r="N13" s="22" t="str">
        <f t="shared" si="6"/>
        <v>AU</v>
      </c>
      <c r="O13" s="24" t="str">
        <f t="shared" si="7"/>
        <v>NOV</v>
      </c>
    </row>
    <row r="14" spans="1:15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8"/>
      <c r="H14" s="8"/>
      <c r="I14" s="8"/>
      <c r="J14" s="9" t="str">
        <f t="shared" si="3"/>
        <v>Standard</v>
      </c>
      <c r="K14" s="10"/>
      <c r="L14" s="10"/>
      <c r="M14" s="17" t="str">
        <f t="shared" si="5"/>
        <v>08</v>
      </c>
      <c r="N14" s="22" t="str">
        <f t="shared" si="6"/>
        <v>DE</v>
      </c>
      <c r="O14" s="24" t="str">
        <f t="shared" si="7"/>
        <v>DEC</v>
      </c>
    </row>
    <row r="15" spans="1:15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8"/>
      <c r="H15" s="8"/>
      <c r="I15" s="8"/>
      <c r="J15" s="9" t="str">
        <f t="shared" si="3"/>
        <v>Standard</v>
      </c>
      <c r="K15" s="10"/>
      <c r="L15" s="10"/>
      <c r="M15" s="17" t="str">
        <f t="shared" si="5"/>
        <v>18</v>
      </c>
      <c r="N15" s="22" t="str">
        <f t="shared" si="6"/>
        <v>CA</v>
      </c>
      <c r="O15" s="24" t="str">
        <f t="shared" si="7"/>
        <v>FEB</v>
      </c>
    </row>
    <row r="16" spans="1:15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8"/>
      <c r="H16" s="8"/>
      <c r="I16" s="8"/>
      <c r="J16" s="9" t="str">
        <f t="shared" si="3"/>
        <v>Standard</v>
      </c>
      <c r="K16" s="10"/>
      <c r="L16" s="10"/>
      <c r="M16" s="17" t="str">
        <f t="shared" si="5"/>
        <v>16</v>
      </c>
      <c r="N16" s="22" t="str">
        <f t="shared" si="6"/>
        <v>ES</v>
      </c>
      <c r="O16" s="24" t="str">
        <f t="shared" si="7"/>
        <v>APR</v>
      </c>
    </row>
    <row r="17" spans="1:15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8"/>
      <c r="H17" s="8"/>
      <c r="I17" s="8"/>
      <c r="J17" s="9" t="str">
        <f t="shared" si="3"/>
        <v>Standard</v>
      </c>
      <c r="K17" s="10"/>
      <c r="L17" s="10"/>
      <c r="M17" s="17" t="str">
        <f t="shared" si="5"/>
        <v>21</v>
      </c>
      <c r="N17" s="22" t="str">
        <f t="shared" si="6"/>
        <v>CA</v>
      </c>
      <c r="O17" s="24" t="str">
        <f t="shared" si="7"/>
        <v>AUG</v>
      </c>
    </row>
    <row r="18" spans="1:15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8"/>
      <c r="H18" s="8"/>
      <c r="I18" s="8"/>
      <c r="J18" s="9" t="str">
        <f t="shared" si="3"/>
        <v>Standard</v>
      </c>
      <c r="K18" s="10"/>
      <c r="L18" s="10"/>
      <c r="M18" s="17" t="str">
        <f t="shared" si="5"/>
        <v>20</v>
      </c>
      <c r="N18" s="22" t="str">
        <f t="shared" si="6"/>
        <v>CN</v>
      </c>
      <c r="O18" s="24" t="str">
        <f t="shared" si="7"/>
        <v>AUG</v>
      </c>
    </row>
    <row r="19" spans="1:15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8"/>
      <c r="H19" s="8"/>
      <c r="I19" s="8"/>
      <c r="J19" s="9" t="str">
        <f t="shared" si="3"/>
        <v>High</v>
      </c>
      <c r="K19" s="10"/>
      <c r="L19" s="10"/>
      <c r="M19" s="17" t="str">
        <f t="shared" si="5"/>
        <v>27</v>
      </c>
      <c r="N19" s="22" t="str">
        <f t="shared" si="6"/>
        <v>IT</v>
      </c>
      <c r="O19" s="24" t="str">
        <f t="shared" si="7"/>
        <v>JAN</v>
      </c>
    </row>
    <row r="20" spans="1:15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8"/>
      <c r="H20" s="8"/>
      <c r="I20" s="8"/>
      <c r="J20" s="9" t="str">
        <f t="shared" si="3"/>
        <v>Standard</v>
      </c>
      <c r="K20" s="10"/>
      <c r="L20" s="10"/>
      <c r="M20" s="17" t="str">
        <f t="shared" si="5"/>
        <v>01</v>
      </c>
      <c r="N20" s="22" t="str">
        <f t="shared" si="6"/>
        <v>UK</v>
      </c>
      <c r="O20" s="24" t="str">
        <f t="shared" si="7"/>
        <v>MAR</v>
      </c>
    </row>
    <row r="21" spans="1:15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8"/>
      <c r="H21" s="8"/>
      <c r="I21" s="8"/>
      <c r="J21" s="9" t="str">
        <f t="shared" si="3"/>
        <v>Standard</v>
      </c>
      <c r="K21" s="10"/>
      <c r="L21" s="10"/>
      <c r="M21" s="17" t="str">
        <f t="shared" si="5"/>
        <v>14</v>
      </c>
      <c r="N21" s="22" t="str">
        <f t="shared" si="6"/>
        <v>US</v>
      </c>
      <c r="O21" s="24" t="str">
        <f t="shared" si="7"/>
        <v>AUG</v>
      </c>
    </row>
    <row r="22" spans="1:15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8"/>
      <c r="H22" s="8"/>
      <c r="I22" s="8"/>
      <c r="J22" s="9" t="str">
        <f t="shared" si="3"/>
        <v>High</v>
      </c>
      <c r="K22" s="10"/>
      <c r="L22" s="10"/>
      <c r="M22" s="17" t="str">
        <f t="shared" si="5"/>
        <v>14</v>
      </c>
      <c r="N22" s="22" t="str">
        <f t="shared" si="6"/>
        <v>RU</v>
      </c>
      <c r="O22" s="24" t="str">
        <f t="shared" si="7"/>
        <v>MAY</v>
      </c>
    </row>
    <row r="23" spans="1:15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8"/>
      <c r="H23" s="8"/>
      <c r="I23" s="8"/>
      <c r="J23" s="9" t="str">
        <f t="shared" si="3"/>
        <v>Standard</v>
      </c>
      <c r="K23" s="10"/>
      <c r="L23" s="10"/>
      <c r="M23" s="17" t="str">
        <f t="shared" si="5"/>
        <v>09</v>
      </c>
      <c r="N23" s="22" t="str">
        <f t="shared" si="6"/>
        <v>CA</v>
      </c>
      <c r="O23" s="24" t="str">
        <f t="shared" si="7"/>
        <v>JAN</v>
      </c>
    </row>
    <row r="24" spans="1:15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8"/>
      <c r="H24" s="8"/>
      <c r="I24" s="8"/>
      <c r="J24" s="9" t="str">
        <f t="shared" si="3"/>
        <v>Standard</v>
      </c>
      <c r="K24" s="10"/>
      <c r="L24" s="10"/>
      <c r="M24" s="17" t="str">
        <f t="shared" si="5"/>
        <v>19</v>
      </c>
      <c r="N24" s="22" t="str">
        <f t="shared" si="6"/>
        <v>BR</v>
      </c>
      <c r="O24" s="24" t="str">
        <f t="shared" si="7"/>
        <v>JUL</v>
      </c>
    </row>
    <row r="25" spans="1:15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8"/>
      <c r="H25" s="8"/>
      <c r="I25" s="8"/>
      <c r="J25" s="9" t="str">
        <f t="shared" si="3"/>
        <v>Standard</v>
      </c>
      <c r="K25" s="10"/>
      <c r="L25" s="10"/>
      <c r="M25" s="17" t="str">
        <f t="shared" si="5"/>
        <v>21</v>
      </c>
      <c r="N25" s="22" t="str">
        <f t="shared" si="6"/>
        <v>CA</v>
      </c>
      <c r="O25" s="24" t="str">
        <f t="shared" si="7"/>
        <v>AUG</v>
      </c>
    </row>
    <row r="26" spans="1:15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8"/>
      <c r="H26" s="8"/>
      <c r="I26" s="8"/>
      <c r="J26" s="9" t="str">
        <f t="shared" si="3"/>
        <v>High</v>
      </c>
      <c r="K26" s="10"/>
      <c r="L26" s="10"/>
      <c r="M26" s="17" t="str">
        <f t="shared" si="5"/>
        <v>29</v>
      </c>
      <c r="N26" s="22" t="str">
        <f t="shared" si="6"/>
        <v>CA</v>
      </c>
      <c r="O26" s="24" t="str">
        <f t="shared" si="7"/>
        <v>SEP</v>
      </c>
    </row>
    <row r="27" spans="1:15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8"/>
      <c r="H27" s="8"/>
      <c r="I27" s="8"/>
      <c r="J27" s="9" t="str">
        <f t="shared" si="3"/>
        <v>Standard</v>
      </c>
      <c r="K27" s="10"/>
      <c r="L27" s="10"/>
      <c r="M27" s="17" t="str">
        <f t="shared" si="5"/>
        <v>03</v>
      </c>
      <c r="N27" s="22" t="str">
        <f t="shared" si="6"/>
        <v>CA</v>
      </c>
      <c r="O27" s="24" t="str">
        <f t="shared" si="7"/>
        <v>JUN</v>
      </c>
    </row>
    <row r="28" spans="1:15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8"/>
      <c r="H28" s="8"/>
      <c r="I28" s="8"/>
      <c r="J28" s="9" t="str">
        <f t="shared" si="3"/>
        <v>Standard</v>
      </c>
      <c r="K28" s="10"/>
      <c r="L28" s="10"/>
      <c r="M28" s="17" t="str">
        <f t="shared" si="5"/>
        <v>11</v>
      </c>
      <c r="N28" s="22" t="str">
        <f t="shared" si="6"/>
        <v>CA</v>
      </c>
      <c r="O28" s="24" t="str">
        <f t="shared" si="7"/>
        <v>JUL</v>
      </c>
    </row>
    <row r="29" spans="1:15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8"/>
      <c r="H29" s="8"/>
      <c r="I29" s="8"/>
      <c r="J29" s="9" t="str">
        <f t="shared" si="3"/>
        <v>Standard</v>
      </c>
      <c r="K29" s="10"/>
      <c r="L29" s="10"/>
      <c r="M29" s="17" t="str">
        <f t="shared" si="5"/>
        <v>16</v>
      </c>
      <c r="N29" s="22" t="str">
        <f t="shared" si="6"/>
        <v>ES</v>
      </c>
      <c r="O29" s="24" t="str">
        <f t="shared" si="7"/>
        <v>APR</v>
      </c>
    </row>
    <row r="30" spans="1:15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8"/>
      <c r="H30" s="8"/>
      <c r="I30" s="8"/>
      <c r="J30" s="9" t="str">
        <f t="shared" si="3"/>
        <v>Standard</v>
      </c>
      <c r="K30" s="10"/>
      <c r="L30" s="10"/>
      <c r="M30" s="17" t="str">
        <f t="shared" si="5"/>
        <v>07</v>
      </c>
      <c r="N30" s="22" t="str">
        <f t="shared" si="6"/>
        <v>CA</v>
      </c>
      <c r="O30" s="24" t="str">
        <f t="shared" si="7"/>
        <v>MAR</v>
      </c>
    </row>
    <row r="31" spans="1:15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8"/>
      <c r="H31" s="8"/>
      <c r="I31" s="8"/>
      <c r="J31" s="9" t="str">
        <f t="shared" si="3"/>
        <v>Standard</v>
      </c>
      <c r="K31" s="10"/>
      <c r="L31" s="10"/>
      <c r="M31" s="17" t="str">
        <f t="shared" si="5"/>
        <v>13</v>
      </c>
      <c r="N31" s="22" t="str">
        <f t="shared" si="6"/>
        <v>CA</v>
      </c>
      <c r="O31" s="24" t="str">
        <f t="shared" si="7"/>
        <v>APR</v>
      </c>
    </row>
    <row r="32" spans="1:15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8"/>
      <c r="H32" s="8"/>
      <c r="I32" s="8"/>
      <c r="J32" s="9" t="str">
        <f t="shared" si="3"/>
        <v>Standard</v>
      </c>
      <c r="K32" s="10"/>
      <c r="L32" s="10"/>
      <c r="M32" s="17" t="str">
        <f t="shared" si="5"/>
        <v>24</v>
      </c>
      <c r="N32" s="22" t="str">
        <f t="shared" si="6"/>
        <v>CA</v>
      </c>
      <c r="O32" s="24" t="str">
        <f t="shared" si="7"/>
        <v>MAY</v>
      </c>
    </row>
    <row r="33" spans="1:15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8"/>
      <c r="H33" s="8"/>
      <c r="I33" s="8"/>
      <c r="J33" s="9" t="str">
        <f t="shared" si="3"/>
        <v>Standard</v>
      </c>
      <c r="K33" s="10"/>
      <c r="L33" s="10"/>
      <c r="M33" s="17" t="str">
        <f t="shared" si="5"/>
        <v>02</v>
      </c>
      <c r="N33" s="22" t="str">
        <f t="shared" si="6"/>
        <v>CA</v>
      </c>
      <c r="O33" s="24" t="str">
        <f t="shared" si="7"/>
        <v>DEC</v>
      </c>
    </row>
    <row r="34" spans="1:15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8"/>
      <c r="H34" s="8"/>
      <c r="I34" s="8"/>
      <c r="J34" s="9" t="str">
        <f t="shared" si="3"/>
        <v>High</v>
      </c>
      <c r="K34" s="10"/>
      <c r="L34" s="10"/>
      <c r="M34" s="17" t="str">
        <f t="shared" si="5"/>
        <v>17</v>
      </c>
      <c r="N34" s="22" t="str">
        <f t="shared" si="6"/>
        <v>IN</v>
      </c>
      <c r="O34" s="24" t="str">
        <f t="shared" si="7"/>
        <v>JUN</v>
      </c>
    </row>
    <row r="35" spans="1:15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25"/>
      <c r="H35" s="25"/>
      <c r="I35" s="25"/>
      <c r="J35" s="26" t="str">
        <f t="shared" si="3"/>
        <v>Standard</v>
      </c>
      <c r="K35" s="12"/>
      <c r="L35" s="12"/>
      <c r="M35" s="18" t="str">
        <f t="shared" si="5"/>
        <v>09</v>
      </c>
      <c r="N35" s="23" t="str">
        <f t="shared" si="6"/>
        <v>FR</v>
      </c>
      <c r="O35" s="27" t="str">
        <f t="shared" si="7"/>
        <v>JUL</v>
      </c>
    </row>
    <row r="36" spans="1:15" ht="15.75" customHeight="1" x14ac:dyDescent="0.25">
      <c r="A36" s="8"/>
      <c r="B36" s="8">
        <f>COUNTA(B2:B35)</f>
        <v>34</v>
      </c>
      <c r="C36" s="8"/>
      <c r="D36" s="8">
        <f>SUM(D2:D35)</f>
        <v>10100</v>
      </c>
      <c r="E36" s="8"/>
      <c r="F36" s="8"/>
      <c r="G36" s="8"/>
      <c r="H36" s="8"/>
      <c r="I36" s="8"/>
      <c r="J36" s="28"/>
      <c r="K36" s="8"/>
      <c r="L36" s="8"/>
      <c r="M36" s="24"/>
      <c r="N36" s="24"/>
      <c r="O36" s="15"/>
    </row>
    <row r="37" spans="1:15" ht="15.75" customHeight="1" x14ac:dyDescent="0.25"/>
    <row r="38" spans="1:15" ht="15.75" customHeight="1" x14ac:dyDescent="0.25"/>
    <row r="39" spans="1:15" ht="15.75" customHeight="1" x14ac:dyDescent="0.25"/>
    <row r="40" spans="1:15" ht="15.75" customHeight="1" x14ac:dyDescent="0.25"/>
    <row r="41" spans="1:15" ht="15.75" customHeight="1" x14ac:dyDescent="0.25"/>
    <row r="42" spans="1:15" ht="15.75" customHeight="1" x14ac:dyDescent="0.25"/>
    <row r="43" spans="1:15" ht="15.75" customHeight="1" x14ac:dyDescent="0.25"/>
    <row r="44" spans="1:15" ht="15.75" customHeight="1" x14ac:dyDescent="0.25"/>
    <row r="45" spans="1:15" ht="15.75" customHeight="1" x14ac:dyDescent="0.25"/>
    <row r="46" spans="1:15" ht="15.75" customHeight="1" x14ac:dyDescent="0.25"/>
    <row r="47" spans="1:15" ht="15.75" customHeight="1" x14ac:dyDescent="0.25"/>
    <row r="48" spans="1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F666-0CA6-41E7-99BF-325B34B27ED3}">
  <dimension ref="A4:C19"/>
  <sheetViews>
    <sheetView tabSelected="1" workbookViewId="0">
      <selection activeCell="B24" sqref="B24"/>
    </sheetView>
  </sheetViews>
  <sheetFormatPr defaultRowHeight="13.2" x14ac:dyDescent="0.25"/>
  <cols>
    <col min="2" max="2" width="144.44140625" customWidth="1"/>
  </cols>
  <sheetData>
    <row r="4" spans="1:3" ht="13.8" x14ac:dyDescent="0.25">
      <c r="A4" s="19">
        <v>1</v>
      </c>
      <c r="B4" s="29" t="s">
        <v>113</v>
      </c>
      <c r="C4" s="13"/>
    </row>
    <row r="5" spans="1:3" ht="13.8" x14ac:dyDescent="0.25">
      <c r="A5" s="19"/>
      <c r="B5" s="20" t="s">
        <v>93</v>
      </c>
      <c r="C5" s="30">
        <v>10100</v>
      </c>
    </row>
    <row r="6" spans="1:3" ht="13.8" x14ac:dyDescent="0.25">
      <c r="A6" s="19"/>
      <c r="B6" s="20" t="s">
        <v>95</v>
      </c>
      <c r="C6" s="30">
        <v>297.06</v>
      </c>
    </row>
    <row r="7" spans="1:3" ht="13.8" x14ac:dyDescent="0.25">
      <c r="A7" s="19"/>
      <c r="B7" s="20" t="s">
        <v>96</v>
      </c>
      <c r="C7" s="30">
        <v>34</v>
      </c>
    </row>
    <row r="8" spans="1:3" ht="13.8" x14ac:dyDescent="0.25">
      <c r="A8" s="19">
        <v>2</v>
      </c>
      <c r="B8" s="29" t="s">
        <v>114</v>
      </c>
      <c r="C8" s="30"/>
    </row>
    <row r="9" spans="1:3" ht="13.8" x14ac:dyDescent="0.25">
      <c r="A9" s="19"/>
      <c r="B9" s="20" t="s">
        <v>99</v>
      </c>
      <c r="C9" s="30">
        <v>30</v>
      </c>
    </row>
    <row r="10" spans="1:3" ht="13.8" x14ac:dyDescent="0.25">
      <c r="A10" s="19"/>
      <c r="B10" s="20" t="s">
        <v>100</v>
      </c>
      <c r="C10" s="30">
        <v>1000</v>
      </c>
    </row>
    <row r="11" spans="1:3" ht="13.8" x14ac:dyDescent="0.25">
      <c r="A11" s="19">
        <v>3</v>
      </c>
      <c r="B11" s="29" t="s">
        <v>115</v>
      </c>
      <c r="C11" s="30"/>
    </row>
    <row r="12" spans="1:3" ht="13.8" x14ac:dyDescent="0.25">
      <c r="A12" s="19"/>
      <c r="B12" s="20" t="s">
        <v>102</v>
      </c>
      <c r="C12" s="31"/>
    </row>
    <row r="13" spans="1:3" ht="13.8" x14ac:dyDescent="0.25">
      <c r="A13" s="19">
        <v>4</v>
      </c>
      <c r="B13" s="29" t="s">
        <v>116</v>
      </c>
      <c r="C13" s="31"/>
    </row>
    <row r="14" spans="1:3" ht="13.8" x14ac:dyDescent="0.25">
      <c r="A14" s="19"/>
      <c r="B14" s="20" t="s">
        <v>105</v>
      </c>
      <c r="C14" s="30">
        <v>8050</v>
      </c>
    </row>
    <row r="15" spans="1:3" ht="13.8" x14ac:dyDescent="0.25">
      <c r="A15" s="19"/>
      <c r="B15" s="20" t="s">
        <v>106</v>
      </c>
      <c r="C15" s="30">
        <v>11</v>
      </c>
    </row>
    <row r="16" spans="1:3" ht="13.8" x14ac:dyDescent="0.25">
      <c r="A16" s="19">
        <v>5</v>
      </c>
      <c r="B16" s="29" t="s">
        <v>117</v>
      </c>
      <c r="C16" s="30"/>
    </row>
    <row r="17" spans="1:3" ht="13.8" x14ac:dyDescent="0.25">
      <c r="A17" s="19"/>
      <c r="B17" s="20" t="s">
        <v>110</v>
      </c>
      <c r="C17" s="32"/>
    </row>
    <row r="18" spans="1:3" ht="13.8" x14ac:dyDescent="0.25">
      <c r="A18" s="19"/>
      <c r="B18" s="20" t="s">
        <v>109</v>
      </c>
      <c r="C18" s="32"/>
    </row>
    <row r="19" spans="1:3" ht="13.8" x14ac:dyDescent="0.25">
      <c r="A19" s="19"/>
      <c r="B19" s="20" t="s">
        <v>112</v>
      </c>
      <c r="C19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assignment-1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rakeshsharma NP</cp:lastModifiedBy>
  <dcterms:modified xsi:type="dcterms:W3CDTF">2026-06-22T08:22:37Z</dcterms:modified>
</cp:coreProperties>
</file>